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essment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<sst xmlns="http://schemas.openxmlformats.org/spreadsheetml/2006/main" count="49" uniqueCount="39">
  <si>
    <t xml:space="preserve">NIST CSF Gap Analysis</t>
  </si>
  <si>
    <t xml:space="preserve">Function</t>
  </si>
  <si>
    <t xml:space="preserve">Category / Focus Area</t>
  </si>
  <si>
    <t xml:space="preserve">Current Maturity (1-5)</t>
  </si>
  <si>
    <t xml:space="preserve">Target Maturity (1-5)</t>
  </si>
  <si>
    <t xml:space="preserve">Gap</t>
  </si>
  <si>
    <t xml:space="preserve">Priority</t>
  </si>
  <si>
    <t xml:space="preserve">Recommendation</t>
  </si>
  <si>
    <t xml:space="preserve">Owner</t>
  </si>
  <si>
    <t xml:space="preserve">Identify</t>
  </si>
  <si>
    <t xml:space="preserve">Asset inventory</t>
  </si>
  <si>
    <t xml:space="preserve">High</t>
  </si>
  <si>
    <t xml:space="preserve">Implement automated hardware and software inventory for critical environments</t>
  </si>
  <si>
    <t xml:space="preserve">IT Asset Manager</t>
  </si>
  <si>
    <t xml:space="preserve">Protect</t>
  </si>
  <si>
    <t xml:space="preserve">MFA coverage</t>
  </si>
  <si>
    <t xml:space="preserve">Critical</t>
  </si>
  <si>
    <t xml:space="preserve">Enforce MFA across workforce, administrators, and remote access</t>
  </si>
  <si>
    <t xml:space="preserve">IT Security Lead</t>
  </si>
  <si>
    <t xml:space="preserve">Vulnerability management</t>
  </si>
  <si>
    <t xml:space="preserve">Define remediation SLAs and monthly reporting by severity</t>
  </si>
  <si>
    <t xml:space="preserve">Infrastructure Lead</t>
  </si>
  <si>
    <t xml:space="preserve">Detect</t>
  </si>
  <si>
    <t xml:space="preserve">Centralized logging</t>
  </si>
  <si>
    <t xml:space="preserve">Aggregate cloud, endpoint, and application logs into a central platform</t>
  </si>
  <si>
    <t xml:space="preserve">Security Operations Lead</t>
  </si>
  <si>
    <t xml:space="preserve">Respond</t>
  </si>
  <si>
    <t xml:space="preserve">Tabletop exercises</t>
  </si>
  <si>
    <t xml:space="preserve">Medium</t>
  </si>
  <si>
    <t xml:space="preserve">Conduct semiannual incident response exercises with leadership participation</t>
  </si>
  <si>
    <t xml:space="preserve">CISO</t>
  </si>
  <si>
    <t xml:space="preserve">Recover</t>
  </si>
  <si>
    <t xml:space="preserve">Backup restoration testing</t>
  </si>
  <si>
    <t xml:space="preserve">Test and document restoration of at least one critical workload quarterly</t>
  </si>
  <si>
    <t xml:space="preserve">Business Continuity Lead</t>
  </si>
  <si>
    <t xml:space="preserve">CSF Dashboard</t>
  </si>
  <si>
    <t xml:space="preserve">Average Current</t>
  </si>
  <si>
    <t xml:space="preserve">Average Target</t>
  </si>
  <si>
    <t xml:space="preserve">Average Gap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</si>
</sst>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A"/>
        <bgColor rgb="FFFFFFFF"/>
      </patternFill>
    </fill>
    <fill>
      <patternFill patternType="solid">
        <fgColor rgb="FFFFFFFF"/>
        <bgColor rgb="FFEE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EEF4FA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Current vs Target Maturity by CSF Function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</c:f>
              <c:strCache>
                <c:ptCount val="1"/>
                <c:pt idx="0">
                  <c:v>Average Current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Identify</c:v>
                </c:pt>
                <c:pt idx="1">
                  <c:v>Protect</c:v>
                </c:pt>
                <c:pt idx="2">
                  <c:v>Detect</c:v>
                </c:pt>
                <c:pt idx="3">
                  <c:v>Respond</c:v>
                </c:pt>
                <c:pt idx="4">
                  <c:v>Recover</c:v>
                </c:pt>
              </c:strCache>
            </c:strRef>
          </c:cat>
          <c:val>
            <c:numRef>
              <c:f>Dashboard!$B$4:$B$8</c:f>
              <c:numCache>
                <c:formatCode>0.0</c:formatCode>
                <c:ptCount val="5"/>
                <c:pt idx="0">
                  <c:v>2</c:v>
                </c:pt>
                <c:pt idx="1">
                  <c:v>2.5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ser>
          <c:idx val="1"/>
          <c:order val="1"/>
          <c:tx>
            <c:strRef>
              <c:f>Dashboard!C3</c:f>
              <c:strCache>
                <c:ptCount val="1"/>
                <c:pt idx="0">
                  <c:v>Average Target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Identify</c:v>
                </c:pt>
                <c:pt idx="1">
                  <c:v>Protect</c:v>
                </c:pt>
                <c:pt idx="2">
                  <c:v>Detect</c:v>
                </c:pt>
                <c:pt idx="3">
                  <c:v>Respond</c:v>
                </c:pt>
                <c:pt idx="4">
                  <c:v>Recover</c:v>
                </c:pt>
              </c:strCache>
            </c:strRef>
          </c:cat>
          <c:val>
            <c:numRef>
              <c:f>Dashboard!$C$4:$C$8</c:f>
              <c:numCache>
                <c:formatCode>0.0</c:formatCode>
                <c:ptCount val="5"/>
                <c:pt idx="0">
                  <c:v>4</c:v>
                </c:pt>
                <c:pt idx="1">
                  <c:v>4.5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66562896"/>
        <c:axId val="48440702"/>
      </c:barChart>
      <c:catAx>
        <c:axId val="6656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440702"/>
        <c:crosses val="autoZero"/>
        <c:auto val="1"/>
        <c:lblAlgn val="ctr"/>
        <c:lblOffset val="100"/>
        <c:noMultiLvlLbl val="0"/>
      </c:catAx>
      <c:valAx>
        <c:axId val="48440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62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131040</xdr:rowOff>
    </xdr:from>
    <xdr:to>
      <xdr:col>4</xdr:col>
      <xdr:colOff>309600</xdr:colOff>
      <xdr:row>24</xdr:row>
      <xdr:rowOff>153000</xdr:rowOff>
    </xdr:to>
    <xdr:graphicFrame>
      <xdr:nvGraphicFramePr>
        <xdr:cNvPr id="0" name="Chart 1"/>
        <xdr:cNvGraphicFramePr/>
      </xdr:nvGraphicFramePr>
      <xdr:xfrm>
        <a:off x="0" y="1905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28.35" hidden="false" customHeight="false" outlineLevel="0" collapsed="false">
      <c r="A4" s="3" t="s">
        <v>9</v>
      </c>
      <c r="B4" s="3" t="s">
        <v>10</v>
      </c>
      <c r="C4" s="4" t="n">
        <v>2</v>
      </c>
      <c r="D4" s="4" t="n">
        <v>4</v>
      </c>
      <c r="E4" s="5" t="n">
        <f aca="false">D4-C4</f>
        <v>2</v>
      </c>
      <c r="F4" s="3" t="s">
        <v>11</v>
      </c>
      <c r="G4" s="3" t="s">
        <v>12</v>
      </c>
      <c r="H4" s="3" t="s">
        <v>13</v>
      </c>
    </row>
    <row r="5" customFormat="false" ht="28.35" hidden="false" customHeight="false" outlineLevel="0" collapsed="false">
      <c r="A5" s="6" t="s">
        <v>14</v>
      </c>
      <c r="B5" s="6" t="s">
        <v>15</v>
      </c>
      <c r="C5" s="7" t="n">
        <v>2</v>
      </c>
      <c r="D5" s="7" t="n">
        <v>5</v>
      </c>
      <c r="E5" s="8" t="n">
        <f aca="false">D5-C5</f>
        <v>3</v>
      </c>
      <c r="F5" s="6" t="s">
        <v>16</v>
      </c>
      <c r="G5" s="6" t="s">
        <v>17</v>
      </c>
      <c r="H5" s="6" t="s">
        <v>18</v>
      </c>
    </row>
    <row r="6" customFormat="false" ht="28.35" hidden="false" customHeight="false" outlineLevel="0" collapsed="false">
      <c r="A6" s="3" t="s">
        <v>14</v>
      </c>
      <c r="B6" s="3" t="s">
        <v>19</v>
      </c>
      <c r="C6" s="4" t="n">
        <v>3</v>
      </c>
      <c r="D6" s="4" t="n">
        <v>4</v>
      </c>
      <c r="E6" s="5" t="n">
        <f aca="false">D6-C6</f>
        <v>1</v>
      </c>
      <c r="F6" s="3" t="s">
        <v>11</v>
      </c>
      <c r="G6" s="3" t="s">
        <v>20</v>
      </c>
      <c r="H6" s="3" t="s">
        <v>21</v>
      </c>
    </row>
    <row r="7" customFormat="false" ht="28.35" hidden="false" customHeight="false" outlineLevel="0" collapsed="false">
      <c r="A7" s="6" t="s">
        <v>22</v>
      </c>
      <c r="B7" s="6" t="s">
        <v>23</v>
      </c>
      <c r="C7" s="7" t="n">
        <v>2</v>
      </c>
      <c r="D7" s="7" t="n">
        <v>4</v>
      </c>
      <c r="E7" s="8" t="n">
        <f aca="false">D7-C7</f>
        <v>2</v>
      </c>
      <c r="F7" s="6" t="s">
        <v>16</v>
      </c>
      <c r="G7" s="6" t="s">
        <v>24</v>
      </c>
      <c r="H7" s="6" t="s">
        <v>25</v>
      </c>
    </row>
    <row r="8" customFormat="false" ht="28.35" hidden="false" customHeight="false" outlineLevel="0" collapsed="false">
      <c r="A8" s="3" t="s">
        <v>26</v>
      </c>
      <c r="B8" s="3" t="s">
        <v>27</v>
      </c>
      <c r="C8" s="4" t="n">
        <v>3</v>
      </c>
      <c r="D8" s="4" t="n">
        <v>4</v>
      </c>
      <c r="E8" s="5" t="n">
        <f aca="false">D8-C8</f>
        <v>1</v>
      </c>
      <c r="F8" s="3" t="s">
        <v>28</v>
      </c>
      <c r="G8" s="3" t="s">
        <v>29</v>
      </c>
      <c r="H8" s="3" t="s">
        <v>30</v>
      </c>
    </row>
    <row r="9" customFormat="false" ht="28.35" hidden="false" customHeight="false" outlineLevel="0" collapsed="false">
      <c r="A9" s="6" t="s">
        <v>31</v>
      </c>
      <c r="B9" s="6" t="s">
        <v>32</v>
      </c>
      <c r="C9" s="7" t="n">
        <v>2</v>
      </c>
      <c r="D9" s="7" t="n">
        <v>4</v>
      </c>
      <c r="E9" s="8" t="n">
        <f aca="false">D9-C9</f>
        <v>2</v>
      </c>
      <c r="F9" s="6" t="s">
        <v>11</v>
      </c>
      <c r="G9" s="6" t="s">
        <v>33</v>
      </c>
      <c r="H9" s="6" t="s">
        <v>34</v>
      </c>
    </row>
  </sheetData>
  <mergeCells count="1">
    <mergeCell ref="A1:H1"/>
  </mergeCells>
  <conditionalFormatting sqref="E4:E9">
    <cfRule type="colorScale" priority="2">
      <colorScale>
        <cfvo type="num" val="0"/>
        <cfvo type="num" val="2"/>
        <cfvo type="num" val="4"/>
        <color rgb="FFA9D18E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35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36</v>
      </c>
      <c r="C3" s="2" t="s">
        <v>37</v>
      </c>
      <c r="D3" s="2" t="s">
        <v>38</v>
      </c>
    </row>
    <row r="4" customFormat="false" ht="15" hidden="false" customHeight="false" outlineLevel="0" collapsed="false">
      <c r="A4" s="3" t="s">
        <v>9</v>
      </c>
      <c r="B4" s="9" t="n">
        <f aca="false">AVERAGEIF(Assessment!A4:A9,A4,Assessment!C4:C9)</f>
        <v>2</v>
      </c>
      <c r="C4" s="9" t="n">
        <f aca="false">AVERAGEIF(Assessment!A4:A9,A4,Assessment!D4:D9)</f>
        <v>4</v>
      </c>
      <c r="D4" s="9" t="n">
        <f aca="false">AVERAGEIF(Assessment!A4:A9,A4,Assessment!E4:E9)</f>
        <v>2</v>
      </c>
    </row>
    <row r="5" customFormat="false" ht="15" hidden="false" customHeight="false" outlineLevel="0" collapsed="false">
      <c r="A5" s="6" t="s">
        <v>14</v>
      </c>
      <c r="B5" s="10" t="n">
        <f aca="false">AVERAGEIF(Assessment!A4:A9,A5,Assessment!C4:C9)</f>
        <v>2.5</v>
      </c>
      <c r="C5" s="10" t="n">
        <f aca="false">AVERAGEIF(Assessment!A4:A9,A5,Assessment!D4:D9)</f>
        <v>4.5</v>
      </c>
      <c r="D5" s="10" t="n">
        <f aca="false">AVERAGEIF(Assessment!A4:A9,A5,Assessment!E4:E9)</f>
        <v>2</v>
      </c>
    </row>
    <row r="6" customFormat="false" ht="15" hidden="false" customHeight="false" outlineLevel="0" collapsed="false">
      <c r="A6" s="3" t="s">
        <v>22</v>
      </c>
      <c r="B6" s="9" t="n">
        <f aca="false">AVERAGEIF(Assessment!A4:A9,A6,Assessment!C4:C9)</f>
        <v>2</v>
      </c>
      <c r="C6" s="9" t="n">
        <f aca="false">AVERAGEIF(Assessment!A4:A9,A6,Assessment!D4:D9)</f>
        <v>4</v>
      </c>
      <c r="D6" s="9" t="n">
        <f aca="false">AVERAGEIF(Assessment!A4:A9,A6,Assessment!E4:E9)</f>
        <v>2</v>
      </c>
    </row>
    <row r="7" customFormat="false" ht="15" hidden="false" customHeight="false" outlineLevel="0" collapsed="false">
      <c r="A7" s="6" t="s">
        <v>26</v>
      </c>
      <c r="B7" s="10" t="n">
        <f aca="false">AVERAGEIF(Assessment!A4:A9,A7,Assessment!C4:C9)</f>
        <v>3</v>
      </c>
      <c r="C7" s="10" t="n">
        <f aca="false">AVERAGEIF(Assessment!A4:A9,A7,Assessment!D4:D9)</f>
        <v>4</v>
      </c>
      <c r="D7" s="10" t="n">
        <f aca="false">AVERAGEIF(Assessment!A4:A9,A7,Assessment!E4:E9)</f>
        <v>1</v>
      </c>
    </row>
    <row r="8" customFormat="false" ht="15" hidden="false" customHeight="false" outlineLevel="0" collapsed="false">
      <c r="A8" s="3" t="s">
        <v>31</v>
      </c>
      <c r="B8" s="9" t="n">
        <f aca="false">AVERAGEIF(Assessment!A4:A9,A8,Assessment!C4:C9)</f>
        <v>2</v>
      </c>
      <c r="C8" s="9" t="n">
        <f aca="false">AVERAGEIF(Assessment!A4:A9,A8,Assessment!D4:D9)</f>
        <v>4</v>
      </c>
      <c r="D8" s="9" t="n">
        <f aca="false">AVERAGEIF(Assessment!A4:A9,A8,Assessment!E4:E9)</f>
        <v>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2026-03-13T14:38:38Z</dcterms:created>
  <dc:creator>openpyxl</dc:creator>
  <dc:description/>
  <dc:language>en-US</dc:language>
  <cp:lastModifiedBy/>
  <dcterms:modified xsi:type="dcterms:W3CDTF">2026-03-13T14:38:38Z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