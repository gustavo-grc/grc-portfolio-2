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uestionnaire" sheetId="1" state="visible" r:id="rId3"/>
    <sheet name="Assessment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<sst xmlns="http://schemas.openxmlformats.org/spreadsheetml/2006/main" count="66" uniqueCount="52">
  <si>
    <t xml:space="preserve">Vendor Security Questionnaire</t>
  </si>
  <si>
    <t xml:space="preserve">Vendor Name</t>
  </si>
  <si>
    <t xml:space="preserve">NorthBridge Cloud Hosting</t>
  </si>
  <si>
    <t xml:space="preserve">Assessment Tier</t>
  </si>
  <si>
    <t xml:space="preserve">Tier 1 - Critical</t>
  </si>
  <si>
    <t xml:space="preserve">Reviewer</t>
  </si>
  <si>
    <t xml:space="preserve">GRC Analyst</t>
  </si>
  <si>
    <t xml:space="preserve">ID</t>
  </si>
  <si>
    <t xml:space="preserve">Domain</t>
  </si>
  <si>
    <t xml:space="preserve">Question</t>
  </si>
  <si>
    <t xml:space="preserve">Response (Y/N/Partial)</t>
  </si>
  <si>
    <t xml:space="preserve">Evidence Requested</t>
  </si>
  <si>
    <t xml:space="preserve">Weight</t>
  </si>
  <si>
    <t xml:space="preserve">Weighted Score</t>
  </si>
  <si>
    <t xml:space="preserve">Q-01</t>
  </si>
  <si>
    <t xml:space="preserve">Governance</t>
  </si>
  <si>
    <t xml:space="preserve">Do you maintain formally approved information security policies reviewed at least annually?</t>
  </si>
  <si>
    <t xml:space="preserve">Yes</t>
  </si>
  <si>
    <t xml:space="preserve">Policy list and review evidence</t>
  </si>
  <si>
    <t xml:space="preserve">Q-02</t>
  </si>
  <si>
    <t xml:space="preserve">Identity and Access</t>
  </si>
  <si>
    <t xml:space="preserve">Is multi-factor authentication required for administrator and remote-access accounts?</t>
  </si>
  <si>
    <t xml:space="preserve">Partial</t>
  </si>
  <si>
    <t xml:space="preserve">MFA configuration screenshots or attestation</t>
  </si>
  <si>
    <t xml:space="preserve">Q-03</t>
  </si>
  <si>
    <t xml:space="preserve">Data Protection</t>
  </si>
  <si>
    <t xml:space="preserve">Is confidential data encrypted in transit and at rest?</t>
  </si>
  <si>
    <t xml:space="preserve">Encryption standard or architecture excerpt</t>
  </si>
  <si>
    <t xml:space="preserve">Q-04</t>
  </si>
  <si>
    <t xml:space="preserve">Vulnerability Management</t>
  </si>
  <si>
    <t xml:space="preserve">Do you perform routine vulnerability scanning and patch critical findings within defined timelines?</t>
  </si>
  <si>
    <t xml:space="preserve">Recent scan summary and remediation SLA</t>
  </si>
  <si>
    <t xml:space="preserve">Q-05</t>
  </si>
  <si>
    <t xml:space="preserve">Resilience</t>
  </si>
  <si>
    <t xml:space="preserve">Are backups performed and are recovery procedures tested at least annually?</t>
  </si>
  <si>
    <t xml:space="preserve">Backup policy and latest restoration test</t>
  </si>
  <si>
    <t xml:space="preserve">Q-06</t>
  </si>
  <si>
    <t xml:space="preserve">Incident Response</t>
  </si>
  <si>
    <t xml:space="preserve">Can you notify customers of security incidents within a contractual time frame?</t>
  </si>
  <si>
    <t xml:space="preserve">Incident response policy and contractual language</t>
  </si>
  <si>
    <t xml:space="preserve">Scoring Summary</t>
  </si>
  <si>
    <t xml:space="preserve">Total Possible</t>
  </si>
  <si>
    <t xml:space="preserve">Vendor Score</t>
  </si>
  <si>
    <t xml:space="preserve">Score %</t>
  </si>
  <si>
    <t xml:space="preserve">Decision</t>
  </si>
  <si>
    <t xml:space="preserve">Vendor Assessment Summary</t>
  </si>
  <si>
    <t xml:space="preserve">Vendor</t>
  </si>
  <si>
    <t xml:space="preserve">Tier</t>
  </si>
  <si>
    <t xml:space="preserve">1 - Critical</t>
  </si>
  <si>
    <t xml:space="preserve">Overall Decision</t>
  </si>
  <si>
    <t xml:space="preserve">Key Conditions</t>
  </si>
  <si>
    <t xml:space="preserve">Provide annual penetration test report, formalize backup restoration evidence, and confirm MFA coverage for all privileged workflows.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</si>
</sst>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4FA"/>
        <bgColor rgb="FFFFFFFF"/>
      </patternFill>
    </fill>
    <fill>
      <patternFill patternType="solid">
        <fgColor rgb="FFFFFFFF"/>
        <bgColor rgb="FFEEF4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666666"/>
      <rgbColor rgb="FF9999FF"/>
      <rgbColor rgb="FFC0504D"/>
      <rgbColor rgb="FFEEF4FA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Weighted Score Contribution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'Assessment Summary'!B10</c:f>
              <c:strCache>
                <c:ptCount val="1"/>
                <c:pt idx="0">
                  <c:v>Weight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'Assessment Summary'!$A$11:$A$16</c:f>
              <c:strCache>
                <c:ptCount val="6"/>
                <c:pt idx="0">
                  <c:v>Governance</c:v>
                </c:pt>
                <c:pt idx="1">
                  <c:v>Identity and Access</c:v>
                </c:pt>
                <c:pt idx="2">
                  <c:v>Data Protection</c:v>
                </c:pt>
                <c:pt idx="3">
                  <c:v>Vulnerability Management</c:v>
                </c:pt>
                <c:pt idx="4">
                  <c:v>Resilience</c:v>
                </c:pt>
                <c:pt idx="5">
                  <c:v>Incident Response</c:v>
                </c:pt>
              </c:strCache>
            </c:strRef>
          </c:cat>
          <c:val>
            <c:numRef>
              <c:f>'Assessment Summary'!$B$11:$B$16</c:f>
              <c:numCache>
                <c:formatCode>General</c:formatCode>
                <c:ptCount val="6"/>
                <c:pt idx="0">
                  <c:v>15</c:v>
                </c:pt>
                <c:pt idx="1">
                  <c:v>10</c:v>
                </c:pt>
                <c:pt idx="2">
                  <c:v>20</c:v>
                </c:pt>
                <c:pt idx="3">
                  <c:v>7.5</c:v>
                </c:pt>
                <c:pt idx="4">
                  <c:v>7.5</c:v>
                </c:pt>
                <c:pt idx="5">
                  <c:v>15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131040</xdr:rowOff>
    </xdr:from>
    <xdr:to>
      <xdr:col>10</xdr:col>
      <xdr:colOff>509760</xdr:colOff>
      <xdr:row>23</xdr:row>
      <xdr:rowOff>153000</xdr:rowOff>
    </xdr:to>
    <xdr:graphicFrame>
      <xdr:nvGraphicFramePr>
        <xdr:cNvPr id="0" name="Chart 1"/>
        <xdr:cNvGraphicFramePr/>
      </xdr:nvGraphicFramePr>
      <xdr:xfrm>
        <a:off x="3571920" y="1714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0" t="s">
        <v>2</v>
      </c>
    </row>
    <row r="3" customFormat="false" ht="15" hidden="false" customHeight="false" outlineLevel="0" collapsed="false">
      <c r="A3" s="2" t="s">
        <v>3</v>
      </c>
      <c r="B3" s="0" t="s">
        <v>4</v>
      </c>
    </row>
    <row r="4" customFormat="false" ht="15" hidden="false" customHeight="false" outlineLevel="0" collapsed="false">
      <c r="A4" s="2" t="s">
        <v>5</v>
      </c>
      <c r="B4" s="0" t="s">
        <v>6</v>
      </c>
    </row>
    <row r="5" customFormat="false" ht="28.35" hidden="false" customHeight="false" outlineLevel="0" collapsed="false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</row>
    <row r="6" customFormat="false" ht="28.35" hidden="false" customHeight="false" outlineLevel="0" collapsed="false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5" t="n">
        <v>15</v>
      </c>
      <c r="G6" s="5" t="n">
        <f aca="false">IF(D6="Yes",1,IF(D6="Partial",0.5,0))*F6</f>
        <v>15</v>
      </c>
    </row>
    <row r="7" customFormat="false" ht="28.35" hidden="false" customHeight="false" outlineLevel="0" collapsed="false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7" t="n">
        <v>20</v>
      </c>
      <c r="G7" s="7" t="n">
        <f aca="false">IF(D7="Yes",1,IF(D7="Partial",0.5,0))*F7</f>
        <v>10</v>
      </c>
    </row>
    <row r="8" customFormat="false" ht="28.35" hidden="false" customHeight="false" outlineLevel="0" collapsed="false">
      <c r="A8" s="4" t="s">
        <v>24</v>
      </c>
      <c r="B8" s="4" t="s">
        <v>25</v>
      </c>
      <c r="C8" s="4" t="s">
        <v>26</v>
      </c>
      <c r="D8" s="4" t="s">
        <v>17</v>
      </c>
      <c r="E8" s="4" t="s">
        <v>27</v>
      </c>
      <c r="F8" s="5" t="n">
        <v>20</v>
      </c>
      <c r="G8" s="5" t="n">
        <f aca="false">IF(D8="Yes",1,IF(D8="Partial",0.5,0))*F8</f>
        <v>20</v>
      </c>
    </row>
    <row r="9" customFormat="false" ht="28.35" hidden="false" customHeight="false" outlineLevel="0" collapsed="false">
      <c r="A9" s="6" t="s">
        <v>28</v>
      </c>
      <c r="B9" s="6" t="s">
        <v>29</v>
      </c>
      <c r="C9" s="6" t="s">
        <v>30</v>
      </c>
      <c r="D9" s="6" t="s">
        <v>22</v>
      </c>
      <c r="E9" s="6" t="s">
        <v>31</v>
      </c>
      <c r="F9" s="7" t="n">
        <v>15</v>
      </c>
      <c r="G9" s="7" t="n">
        <f aca="false">IF(D9="Yes",1,IF(D9="Partial",0.5,0))*F9</f>
        <v>7.5</v>
      </c>
    </row>
    <row r="10" customFormat="false" ht="28.35" hidden="false" customHeight="false" outlineLevel="0" collapsed="false">
      <c r="A10" s="4" t="s">
        <v>32</v>
      </c>
      <c r="B10" s="4" t="s">
        <v>33</v>
      </c>
      <c r="C10" s="4" t="s">
        <v>34</v>
      </c>
      <c r="D10" s="4" t="s">
        <v>22</v>
      </c>
      <c r="E10" s="4" t="s">
        <v>35</v>
      </c>
      <c r="F10" s="5" t="n">
        <v>15</v>
      </c>
      <c r="G10" s="5" t="n">
        <f aca="false">IF(D10="Yes",1,IF(D10="Partial",0.5,0))*F10</f>
        <v>7.5</v>
      </c>
    </row>
    <row r="11" customFormat="false" ht="28.35" hidden="false" customHeight="false" outlineLevel="0" collapsed="false">
      <c r="A11" s="6" t="s">
        <v>36</v>
      </c>
      <c r="B11" s="6" t="s">
        <v>37</v>
      </c>
      <c r="C11" s="6" t="s">
        <v>38</v>
      </c>
      <c r="D11" s="6" t="s">
        <v>17</v>
      </c>
      <c r="E11" s="6" t="s">
        <v>39</v>
      </c>
      <c r="F11" s="7" t="n">
        <v>15</v>
      </c>
      <c r="G11" s="7" t="n">
        <f aca="false">IF(D11="Yes",1,IF(D11="Partial",0.5,0))*F11</f>
        <v>15</v>
      </c>
    </row>
    <row r="14" customFormat="false" ht="15" hidden="false" customHeight="false" outlineLevel="0" collapsed="false">
      <c r="A14" s="8" t="s">
        <v>40</v>
      </c>
    </row>
    <row r="15" customFormat="false" ht="15" hidden="false" customHeight="false" outlineLevel="0" collapsed="false">
      <c r="A15" s="9" t="s">
        <v>41</v>
      </c>
      <c r="B15" s="0" t="n">
        <f aca="false">SUM(F6:F11)</f>
        <v>100</v>
      </c>
    </row>
    <row r="16" customFormat="false" ht="15" hidden="false" customHeight="false" outlineLevel="0" collapsed="false">
      <c r="A16" s="9" t="s">
        <v>42</v>
      </c>
      <c r="B16" s="0" t="n">
        <f aca="false">SUM(G6:G11)</f>
        <v>75</v>
      </c>
    </row>
    <row r="17" customFormat="false" ht="15" hidden="false" customHeight="false" outlineLevel="0" collapsed="false">
      <c r="A17" s="9" t="s">
        <v>43</v>
      </c>
      <c r="B17" s="10" t="n">
        <f aca="false">B16/B15</f>
        <v>0.75</v>
      </c>
    </row>
    <row r="18" customFormat="false" ht="15" hidden="false" customHeight="false" outlineLevel="0" collapsed="false">
      <c r="A18" s="9" t="s">
        <v>44</v>
      </c>
      <c r="B18" s="0" t="str">
        <f aca="false">IF(B17&gt;=0.85,"Approved",IF(B17&gt;=0.7,"Conditional Approval","Not Approved"))</f>
        <v>Conditional Approval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4" min="4" style="0" width="2"/>
  </cols>
  <sheetData>
    <row r="1" customFormat="false" ht="19.7" hidden="false" customHeight="false" outlineLevel="0" collapsed="false">
      <c r="A1" s="1" t="s">
        <v>45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46</v>
      </c>
      <c r="B3" s="0" t="s">
        <v>2</v>
      </c>
    </row>
    <row r="4" customFormat="false" ht="15" hidden="false" customHeight="false" outlineLevel="0" collapsed="false">
      <c r="A4" s="2" t="s">
        <v>47</v>
      </c>
      <c r="B4" s="0" t="s">
        <v>48</v>
      </c>
    </row>
    <row r="5" customFormat="false" ht="15" hidden="false" customHeight="false" outlineLevel="0" collapsed="false">
      <c r="A5" s="2" t="s">
        <v>49</v>
      </c>
      <c r="B5" s="0" t="str">
        <f aca="false">Questionnaire!B18</f>
        <v>Conditional Approval</v>
      </c>
    </row>
    <row r="6" customFormat="false" ht="15" hidden="false" customHeight="false" outlineLevel="0" collapsed="false">
      <c r="A6" s="2" t="s">
        <v>43</v>
      </c>
      <c r="B6" s="10" t="n">
        <f aca="false">Questionnaire!B17</f>
        <v>0.75</v>
      </c>
    </row>
    <row r="7" customFormat="false" ht="15" hidden="false" customHeight="false" outlineLevel="0" collapsed="false">
      <c r="A7" s="2" t="s">
        <v>50</v>
      </c>
      <c r="B7" s="0" t="s">
        <v>51</v>
      </c>
    </row>
    <row r="10" customFormat="false" ht="15" hidden="false" customHeight="false" outlineLevel="0" collapsed="false">
      <c r="A10" s="3" t="s">
        <v>8</v>
      </c>
      <c r="B10" s="3" t="s">
        <v>12</v>
      </c>
    </row>
    <row r="11" customFormat="false" ht="15" hidden="false" customHeight="false" outlineLevel="0" collapsed="false">
      <c r="A11" s="6" t="s">
        <v>15</v>
      </c>
      <c r="B11" s="6" t="n">
        <f aca="false">SUMIF(Questionnaire!B6:B11,A11,Questionnaire!G6:G11)</f>
        <v>15</v>
      </c>
    </row>
    <row r="12" customFormat="false" ht="15" hidden="false" customHeight="false" outlineLevel="0" collapsed="false">
      <c r="A12" s="4" t="s">
        <v>20</v>
      </c>
      <c r="B12" s="4" t="n">
        <f aca="false">SUMIF(Questionnaire!B6:B11,A12,Questionnaire!G6:G11)</f>
        <v>10</v>
      </c>
    </row>
    <row r="13" customFormat="false" ht="15" hidden="false" customHeight="false" outlineLevel="0" collapsed="false">
      <c r="A13" s="6" t="s">
        <v>25</v>
      </c>
      <c r="B13" s="6" t="n">
        <f aca="false">SUMIF(Questionnaire!B6:B11,A13,Questionnaire!G6:G11)</f>
        <v>20</v>
      </c>
    </row>
    <row r="14" customFormat="false" ht="15" hidden="false" customHeight="false" outlineLevel="0" collapsed="false">
      <c r="A14" s="4" t="s">
        <v>29</v>
      </c>
      <c r="B14" s="4" t="n">
        <f aca="false">SUMIF(Questionnaire!B6:B11,A14,Questionnaire!G6:G11)</f>
        <v>7.5</v>
      </c>
    </row>
    <row r="15" customFormat="false" ht="15" hidden="false" customHeight="false" outlineLevel="0" collapsed="false">
      <c r="A15" s="6" t="s">
        <v>33</v>
      </c>
      <c r="B15" s="6" t="n">
        <f aca="false">SUMIF(Questionnaire!B6:B11,A15,Questionnaire!G6:G11)</f>
        <v>7.5</v>
      </c>
    </row>
    <row r="16" customFormat="false" ht="15" hidden="false" customHeight="false" outlineLevel="0" collapsed="false">
      <c r="A16" s="4" t="s">
        <v>37</v>
      </c>
      <c r="B16" s="4" t="n">
        <f aca="false">SUMIF(Questionnaire!B6:B11,A16,Questionnaire!G6:G11)</f>
        <v>15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2026-03-13T14:38:38Z</dcterms:created>
  <dc:creator>openpyxl</dc:creator>
  <dc:description/>
  <dc:language>en-US</dc:language>
  <cp:lastModifiedBy/>
  <dcterms:modified xsi:type="dcterms:W3CDTF">2026-03-13T14:38:38Z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