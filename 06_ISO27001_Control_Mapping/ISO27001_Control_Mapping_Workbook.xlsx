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 Crosswalk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<sst xmlns="http://schemas.openxmlformats.org/spreadsheetml/2006/main" count="58" uniqueCount="50">
  <si>
    <t xml:space="preserve">ISO 27001 Control Mapping</t>
  </si>
  <si>
    <t xml:space="preserve">ISO 27001 Theme</t>
  </si>
  <si>
    <t xml:space="preserve">Example Control Objective</t>
  </si>
  <si>
    <t xml:space="preserve">Implementation Evidence</t>
  </si>
  <si>
    <t xml:space="preserve">Owner</t>
  </si>
  <si>
    <t xml:space="preserve">Status</t>
  </si>
  <si>
    <t xml:space="preserve">NIST CSF Reference</t>
  </si>
  <si>
    <t xml:space="preserve">Notes</t>
  </si>
  <si>
    <t xml:space="preserve">Policies for Information Security</t>
  </si>
  <si>
    <t xml:space="preserve">Security expectations are documented and reviewed</t>
  </si>
  <si>
    <t xml:space="preserve">Approved policy pack and annual review calendar</t>
  </si>
  <si>
    <t xml:space="preserve">Security Governance</t>
  </si>
  <si>
    <t xml:space="preserve">Implemented</t>
  </si>
  <si>
    <t xml:space="preserve">GV.PO / ID.GV</t>
  </si>
  <si>
    <t xml:space="preserve">Review evidence should be retained centrally</t>
  </si>
  <si>
    <t xml:space="preserve">Identity and Access Management</t>
  </si>
  <si>
    <t xml:space="preserve">Access is approved, least-privileged, and reviewed</t>
  </si>
  <si>
    <t xml:space="preserve">Provisioning workflow, quarterly review records, MFA screenshots</t>
  </si>
  <si>
    <t xml:space="preserve">IT Security</t>
  </si>
  <si>
    <t xml:space="preserve">Partially Implemented</t>
  </si>
  <si>
    <t xml:space="preserve">PR.AA</t>
  </si>
  <si>
    <t xml:space="preserve">Admin review evidence needs consistent retention</t>
  </si>
  <si>
    <t xml:space="preserve">Logging and Monitoring</t>
  </si>
  <si>
    <t xml:space="preserve">Security events are collected and monitored</t>
  </si>
  <si>
    <t xml:space="preserve">SIEM dashboard, alert procedures, retention settings</t>
  </si>
  <si>
    <t xml:space="preserve">Security Operations</t>
  </si>
  <si>
    <t xml:space="preserve">DE.CM</t>
  </si>
  <si>
    <t xml:space="preserve">Application logging coverage incomplete</t>
  </si>
  <si>
    <t xml:space="preserve">Backup</t>
  </si>
  <si>
    <t xml:space="preserve">Critical data can be restored within business expectations</t>
  </si>
  <si>
    <t xml:space="preserve">Backup schedule, retention settings, restoration test</t>
  </si>
  <si>
    <t xml:space="preserve">Infrastructure</t>
  </si>
  <si>
    <t xml:space="preserve">RC.RP</t>
  </si>
  <si>
    <t xml:space="preserve">Need recurring restoration evidence</t>
  </si>
  <si>
    <t xml:space="preserve">Supplier Security</t>
  </si>
  <si>
    <t xml:space="preserve">Third parties are assessed before onboarding</t>
  </si>
  <si>
    <t xml:space="preserve">Questionnaire, contract clause template, annual review log</t>
  </si>
  <si>
    <t xml:space="preserve">Vendor Manager</t>
  </si>
  <si>
    <t xml:space="preserve">ID.SC</t>
  </si>
  <si>
    <t xml:space="preserve">Critical vendors should have enhanced review</t>
  </si>
  <si>
    <t xml:space="preserve">Incident Management</t>
  </si>
  <si>
    <t xml:space="preserve">Incidents are managed through a documented lifecycle</t>
  </si>
  <si>
    <t xml:space="preserve">Incident response plan, exercise records, after-action log</t>
  </si>
  <si>
    <t xml:space="preserve">RS.RP / RS.IM</t>
  </si>
  <si>
    <t xml:space="preserve">Exercise cadence should be semiannual</t>
  </si>
  <si>
    <t xml:space="preserve">Implementation Summary</t>
  </si>
  <si>
    <t xml:space="preserve">Count</t>
  </si>
  <si>
    <t xml:space="preserve">% of Total</t>
  </si>
  <si>
    <t xml:space="preserve">Planned</t>
  </si>
  <si>
    <t xml:space="preserve">Not Implemented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</si>
</sst>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A"/>
        <bgColor rgb="FFFFFFFF"/>
      </patternFill>
    </fill>
    <fill>
      <patternFill patternType="solid">
        <fgColor rgb="FFFFFFFF"/>
        <bgColor rgb="FFEE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EEF4FA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Control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Summary!$A$4:$A$7</c:f>
              <c:strCache>
                <c:ptCount val="4"/>
                <c:pt idx="0">
                  <c:v>Implemented</c:v>
                </c:pt>
                <c:pt idx="1">
                  <c:v>Partially Implemented</c:v>
                </c:pt>
                <c:pt idx="2">
                  <c:v>Planned</c:v>
                </c:pt>
                <c:pt idx="3">
                  <c:v>Not Implemented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12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42768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28.35" hidden="false" customHeight="false" outlineLevel="0" collapsed="false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customFormat="false" ht="28.3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customFormat="false" ht="28.35" hidden="false" customHeight="false" outlineLevel="0" collapsed="false">
      <c r="A6" s="3" t="s">
        <v>22</v>
      </c>
      <c r="B6" s="3" t="s">
        <v>23</v>
      </c>
      <c r="C6" s="3" t="s">
        <v>24</v>
      </c>
      <c r="D6" s="3" t="s">
        <v>25</v>
      </c>
      <c r="E6" s="3" t="s">
        <v>19</v>
      </c>
      <c r="F6" s="3" t="s">
        <v>26</v>
      </c>
      <c r="G6" s="3" t="s">
        <v>27</v>
      </c>
    </row>
    <row r="7" customFormat="false" ht="28.35" hidden="false" customHeight="false" outlineLevel="0" collapsed="false">
      <c r="A7" s="4" t="s">
        <v>28</v>
      </c>
      <c r="B7" s="4" t="s">
        <v>29</v>
      </c>
      <c r="C7" s="4" t="s">
        <v>30</v>
      </c>
      <c r="D7" s="4" t="s">
        <v>31</v>
      </c>
      <c r="E7" s="4" t="s">
        <v>19</v>
      </c>
      <c r="F7" s="4" t="s">
        <v>32</v>
      </c>
      <c r="G7" s="4" t="s">
        <v>33</v>
      </c>
    </row>
    <row r="8" customFormat="false" ht="28.35" hidden="false" customHeight="false" outlineLevel="0" collapsed="false">
      <c r="A8" s="3" t="s">
        <v>34</v>
      </c>
      <c r="B8" s="3" t="s">
        <v>35</v>
      </c>
      <c r="C8" s="3" t="s">
        <v>36</v>
      </c>
      <c r="D8" s="3" t="s">
        <v>37</v>
      </c>
      <c r="E8" s="3" t="s">
        <v>12</v>
      </c>
      <c r="F8" s="3" t="s">
        <v>38</v>
      </c>
      <c r="G8" s="3" t="s">
        <v>39</v>
      </c>
    </row>
    <row r="9" customFormat="false" ht="28.35" hidden="false" customHeight="false" outlineLevel="0" collapsed="false">
      <c r="A9" s="4" t="s">
        <v>40</v>
      </c>
      <c r="B9" s="4" t="s">
        <v>41</v>
      </c>
      <c r="C9" s="4" t="s">
        <v>42</v>
      </c>
      <c r="D9" s="4" t="s">
        <v>25</v>
      </c>
      <c r="E9" s="4" t="s">
        <v>12</v>
      </c>
      <c r="F9" s="4" t="s">
        <v>43</v>
      </c>
      <c r="G9" s="4" t="s">
        <v>44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19.7" hidden="false" customHeight="false" outlineLevel="0" collapsed="false">
      <c r="A1" s="1" t="s">
        <v>45</v>
      </c>
      <c r="B1" s="1"/>
      <c r="C1" s="1"/>
      <c r="D1" s="1"/>
    </row>
    <row r="3" customFormat="false" ht="15" hidden="false" customHeight="false" outlineLevel="0" collapsed="false">
      <c r="A3" s="2" t="s">
        <v>5</v>
      </c>
      <c r="B3" s="2" t="s">
        <v>46</v>
      </c>
      <c r="C3" s="2" t="s">
        <v>47</v>
      </c>
    </row>
    <row r="4" customFormat="false" ht="15" hidden="false" customHeight="false" outlineLevel="0" collapsed="false">
      <c r="A4" s="3" t="s">
        <v>12</v>
      </c>
      <c r="B4" s="3" t="n">
        <f aca="false">COUNTIF('Control Crosswalk'!E4:E9,A4)</f>
        <v>3</v>
      </c>
      <c r="C4" s="5" t="n">
        <f aca="false">B4/SUM(B4:B7)</f>
        <v>0.5</v>
      </c>
    </row>
    <row r="5" customFormat="false" ht="15" hidden="false" customHeight="false" outlineLevel="0" collapsed="false">
      <c r="A5" s="4" t="s">
        <v>19</v>
      </c>
      <c r="B5" s="4" t="n">
        <f aca="false">COUNTIF('Control Crosswalk'!E4:E9,A5)</f>
        <v>3</v>
      </c>
      <c r="C5" s="6" t="n">
        <f aca="false">B5/SUM(B4:B7)</f>
        <v>0.5</v>
      </c>
    </row>
    <row r="6" customFormat="false" ht="15" hidden="false" customHeight="false" outlineLevel="0" collapsed="false">
      <c r="A6" s="3" t="s">
        <v>48</v>
      </c>
      <c r="B6" s="3" t="n">
        <f aca="false">COUNTIF('Control Crosswalk'!E4:E9,A6)</f>
        <v>0</v>
      </c>
      <c r="C6" s="5" t="n">
        <f aca="false">B6/SUM(B4:B7)</f>
        <v>0</v>
      </c>
    </row>
    <row r="7" customFormat="false" ht="15" hidden="false" customHeight="false" outlineLevel="0" collapsed="false">
      <c r="A7" s="4" t="s">
        <v>49</v>
      </c>
      <c r="B7" s="4" t="n">
        <f aca="false">COUNTIF('Control Crosswalk'!E4:E9,A7)</f>
        <v>0</v>
      </c>
      <c r="C7" s="6" t="n">
        <f aca="false">B7/SUM(B4:B7)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2026-03-13T14:38:38Z</dcterms:created>
  <dc:creator>openpyxl</dc:creator>
  <dc:description/>
  <dc:language>en-US</dc:language>
  <cp:lastModifiedBy/>
  <dcterms:modified xsi:type="dcterms:W3CDTF">2026-03-13T14:38:38Z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