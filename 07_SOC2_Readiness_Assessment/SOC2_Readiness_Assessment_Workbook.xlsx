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iness Tracker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<sst xmlns="http://schemas.openxmlformats.org/spreadsheetml/2006/main" count="63" uniqueCount="54">
  <si>
    <t xml:space="preserve">SOC 2 Readiness Assessment</t>
  </si>
  <si>
    <t xml:space="preserve">Criterion</t>
  </si>
  <si>
    <t xml:space="preserve">Control Area</t>
  </si>
  <si>
    <t xml:space="preserve">Current Status</t>
  </si>
  <si>
    <t xml:space="preserve">Evidence Available</t>
  </si>
  <si>
    <t xml:space="preserve">Gap Rating (1-3)</t>
  </si>
  <si>
    <t xml:space="preserve">Priority</t>
  </si>
  <si>
    <t xml:space="preserve">Remediation Action</t>
  </si>
  <si>
    <t xml:space="preserve">Owner</t>
  </si>
  <si>
    <t xml:space="preserve">CC6.1</t>
  </si>
  <si>
    <t xml:space="preserve">Logical access and MFA</t>
  </si>
  <si>
    <t xml:space="preserve">Partially Implemented</t>
  </si>
  <si>
    <t xml:space="preserve">Some screenshots, not complete</t>
  </si>
  <si>
    <t xml:space="preserve">Critical</t>
  </si>
  <si>
    <t xml:space="preserve">Enforce MFA for all workforce and admin identities</t>
  </si>
  <si>
    <t xml:space="preserve">IT Security Lead</t>
  </si>
  <si>
    <t xml:space="preserve">CC6.2</t>
  </si>
  <si>
    <t xml:space="preserve">User access reviews</t>
  </si>
  <si>
    <t xml:space="preserve">Manual review records only</t>
  </si>
  <si>
    <t xml:space="preserve">High</t>
  </si>
  <si>
    <t xml:space="preserve">Formalize quarterly review workflow and evidence retention</t>
  </si>
  <si>
    <t xml:space="preserve">GRC Analyst</t>
  </si>
  <si>
    <t xml:space="preserve">CC7.2</t>
  </si>
  <si>
    <t xml:space="preserve">Change management</t>
  </si>
  <si>
    <t xml:space="preserve">Ticket approvals inconsistent</t>
  </si>
  <si>
    <t xml:space="preserve">Require documented approvals and rollback considerations for production changes</t>
  </si>
  <si>
    <t xml:space="preserve">Engineering Manager</t>
  </si>
  <si>
    <t xml:space="preserve">CC7.3</t>
  </si>
  <si>
    <t xml:space="preserve">Monitoring</t>
  </si>
  <si>
    <t xml:space="preserve">Planned</t>
  </si>
  <si>
    <t xml:space="preserve">Limited alert records</t>
  </si>
  <si>
    <t xml:space="preserve">Define alert use cases and retain investigation records</t>
  </si>
  <si>
    <t xml:space="preserve">Security Operations Lead</t>
  </si>
  <si>
    <t xml:space="preserve">A1.2</t>
  </si>
  <si>
    <t xml:space="preserve">Availability and recovery</t>
  </si>
  <si>
    <t xml:space="preserve">Backups exist, test evidence limited</t>
  </si>
  <si>
    <t xml:space="preserve">Medium</t>
  </si>
  <si>
    <t xml:space="preserve">Schedule and document recurring restoration tests</t>
  </si>
  <si>
    <t xml:space="preserve">Infrastructure Lead</t>
  </si>
  <si>
    <t xml:space="preserve">CC1.2</t>
  </si>
  <si>
    <t xml:space="preserve">Governance and control ownership</t>
  </si>
  <si>
    <t xml:space="preserve">Implemented</t>
  </si>
  <si>
    <t xml:space="preserve">Control owner list available</t>
  </si>
  <si>
    <t xml:space="preserve">Maintain annual review of control ownership</t>
  </si>
  <si>
    <t xml:space="preserve">Compliance Manager</t>
  </si>
  <si>
    <t xml:space="preserve">Readiness Dashboard</t>
  </si>
  <si>
    <t xml:space="preserve">Status</t>
  </si>
  <si>
    <t xml:space="preserve">Count</t>
  </si>
  <si>
    <t xml:space="preserve">% of Total</t>
  </si>
  <si>
    <t xml:space="preserve">Metric</t>
  </si>
  <si>
    <t xml:space="preserve">Value</t>
  </si>
  <si>
    <t xml:space="preserve">Open Critical / High</t>
  </si>
  <si>
    <t xml:space="preserve">Average Gap Rating</t>
  </si>
  <si>
    <t xml:space="preserve">Not Implemented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</si>
</sst>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4FA"/>
        <bgColor rgb="FFFFFFFF"/>
      </patternFill>
    </fill>
    <fill>
      <patternFill patternType="solid">
        <fgColor rgb="FFFFFFFF"/>
        <bgColor rgb="FFEEF4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EEF4FA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Assessment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Dashboard!$A$4:$A$7</c:f>
              <c:strCache>
                <c:ptCount val="4"/>
                <c:pt idx="0">
                  <c:v>Implemented</c:v>
                </c:pt>
                <c:pt idx="1">
                  <c:v>Partially Implemented</c:v>
                </c:pt>
                <c:pt idx="2">
                  <c:v>Planned</c:v>
                </c:pt>
                <c:pt idx="3">
                  <c:v>Not Implemented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988116"/>
        <c:axId val="74978596"/>
      </c:barChart>
      <c:catAx>
        <c:axId val="59881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978596"/>
        <c:crosses val="autoZero"/>
        <c:auto val="1"/>
        <c:lblAlgn val="ctr"/>
        <c:lblOffset val="100"/>
        <c:noMultiLvlLbl val="0"/>
      </c:catAx>
      <c:valAx>
        <c:axId val="749785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881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131040</xdr:rowOff>
    </xdr:from>
    <xdr:to>
      <xdr:col>4</xdr:col>
      <xdr:colOff>324720</xdr:colOff>
      <xdr:row>23</xdr:row>
      <xdr:rowOff>153000</xdr:rowOff>
    </xdr:to>
    <xdr:graphicFrame>
      <xdr:nvGraphicFramePr>
        <xdr:cNvPr id="0" name="Chart 1"/>
        <xdr:cNvGraphicFramePr/>
      </xdr:nvGraphicFramePr>
      <xdr:xfrm>
        <a:off x="0" y="1714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38"/>
    <col collapsed="false" customWidth="true" hidden="false" outlineLevel="0" max="8" min="8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28.3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4" t="n">
        <v>3</v>
      </c>
      <c r="F4" s="3" t="s">
        <v>13</v>
      </c>
      <c r="G4" s="3" t="s">
        <v>14</v>
      </c>
      <c r="H4" s="3" t="s">
        <v>15</v>
      </c>
    </row>
    <row r="5" customFormat="false" ht="28.35" hidden="false" customHeight="false" outlineLevel="0" collapsed="false">
      <c r="A5" s="5" t="s">
        <v>16</v>
      </c>
      <c r="B5" s="5" t="s">
        <v>17</v>
      </c>
      <c r="C5" s="5" t="s">
        <v>11</v>
      </c>
      <c r="D5" s="5" t="s">
        <v>18</v>
      </c>
      <c r="E5" s="6" t="n">
        <v>2</v>
      </c>
      <c r="F5" s="5" t="s">
        <v>19</v>
      </c>
      <c r="G5" s="5" t="s">
        <v>20</v>
      </c>
      <c r="H5" s="5" t="s">
        <v>21</v>
      </c>
    </row>
    <row r="6" customFormat="false" ht="28.35" hidden="false" customHeight="false" outlineLevel="0" collapsed="false">
      <c r="A6" s="3" t="s">
        <v>22</v>
      </c>
      <c r="B6" s="3" t="s">
        <v>23</v>
      </c>
      <c r="C6" s="3" t="s">
        <v>11</v>
      </c>
      <c r="D6" s="3" t="s">
        <v>24</v>
      </c>
      <c r="E6" s="4" t="n">
        <v>2</v>
      </c>
      <c r="F6" s="3" t="s">
        <v>19</v>
      </c>
      <c r="G6" s="3" t="s">
        <v>25</v>
      </c>
      <c r="H6" s="3" t="s">
        <v>26</v>
      </c>
    </row>
    <row r="7" customFormat="false" ht="28.35" hidden="false" customHeight="false" outlineLevel="0" collapsed="false">
      <c r="A7" s="5" t="s">
        <v>27</v>
      </c>
      <c r="B7" s="5" t="s">
        <v>28</v>
      </c>
      <c r="C7" s="5" t="s">
        <v>29</v>
      </c>
      <c r="D7" s="5" t="s">
        <v>30</v>
      </c>
      <c r="E7" s="6" t="n">
        <v>3</v>
      </c>
      <c r="F7" s="5" t="s">
        <v>19</v>
      </c>
      <c r="G7" s="5" t="s">
        <v>31</v>
      </c>
      <c r="H7" s="5" t="s">
        <v>32</v>
      </c>
    </row>
    <row r="8" customFormat="false" ht="28.35" hidden="false" customHeight="false" outlineLevel="0" collapsed="false">
      <c r="A8" s="3" t="s">
        <v>33</v>
      </c>
      <c r="B8" s="3" t="s">
        <v>34</v>
      </c>
      <c r="C8" s="3" t="s">
        <v>11</v>
      </c>
      <c r="D8" s="3" t="s">
        <v>35</v>
      </c>
      <c r="E8" s="4" t="n">
        <v>2</v>
      </c>
      <c r="F8" s="3" t="s">
        <v>36</v>
      </c>
      <c r="G8" s="3" t="s">
        <v>37</v>
      </c>
      <c r="H8" s="3" t="s">
        <v>38</v>
      </c>
    </row>
    <row r="9" customFormat="false" ht="28.35" hidden="false" customHeight="false" outlineLevel="0" collapsed="false">
      <c r="A9" s="5" t="s">
        <v>39</v>
      </c>
      <c r="B9" s="5" t="s">
        <v>40</v>
      </c>
      <c r="C9" s="5" t="s">
        <v>41</v>
      </c>
      <c r="D9" s="5" t="s">
        <v>42</v>
      </c>
      <c r="E9" s="6" t="n">
        <v>1</v>
      </c>
      <c r="F9" s="5" t="s">
        <v>36</v>
      </c>
      <c r="G9" s="5" t="s">
        <v>43</v>
      </c>
      <c r="H9" s="5" t="s">
        <v>44</v>
      </c>
    </row>
  </sheetData>
  <mergeCells count="1">
    <mergeCell ref="A1:H1"/>
  </mergeCells>
  <conditionalFormatting sqref="E4:E9">
    <cfRule type="colorScale" priority="2">
      <colorScale>
        <cfvo type="num" val="1"/>
        <cfvo type="num" val="2"/>
        <cfvo type="num" val="3"/>
        <color rgb="FFA9D18E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45</v>
      </c>
      <c r="B1" s="1"/>
      <c r="C1" s="1"/>
      <c r="D1" s="1"/>
      <c r="E1" s="1"/>
    </row>
    <row r="3" customFormat="false" ht="15" hidden="false" customHeight="false" outlineLevel="0" collapsed="false">
      <c r="A3" s="2" t="s">
        <v>46</v>
      </c>
      <c r="B3" s="2" t="s">
        <v>47</v>
      </c>
      <c r="C3" s="2" t="s">
        <v>48</v>
      </c>
      <c r="E3" s="2" t="s">
        <v>49</v>
      </c>
      <c r="F3" s="2" t="s">
        <v>50</v>
      </c>
    </row>
    <row r="4" customFormat="false" ht="15" hidden="false" customHeight="false" outlineLevel="0" collapsed="false">
      <c r="A4" s="3" t="s">
        <v>41</v>
      </c>
      <c r="B4" s="3" t="n">
        <f aca="false">COUNTIF('Readiness Tracker'!C4:C9,A4)</f>
        <v>1</v>
      </c>
      <c r="C4" s="7" t="n">
        <f aca="false">B4/SUM(B4:B7)</f>
        <v>0.166666666666667</v>
      </c>
      <c r="E4" s="3" t="s">
        <v>51</v>
      </c>
      <c r="F4" s="3" t="n">
        <f aca="false">COUNTIF('Readiness Tracker'!F4:F9,"Critical")+COUNTIF('Readiness Tracker'!F4:F9,"High")</f>
        <v>4</v>
      </c>
    </row>
    <row r="5" customFormat="false" ht="15" hidden="false" customHeight="false" outlineLevel="0" collapsed="false">
      <c r="A5" s="5" t="s">
        <v>11</v>
      </c>
      <c r="B5" s="5" t="n">
        <f aca="false">COUNTIF('Readiness Tracker'!C4:C9,A5)</f>
        <v>4</v>
      </c>
      <c r="C5" s="8" t="n">
        <f aca="false">B5/SUM(B4:B7)</f>
        <v>0.666666666666667</v>
      </c>
      <c r="E5" s="5" t="s">
        <v>52</v>
      </c>
      <c r="F5" s="5" t="n">
        <f aca="false">AVERAGE('Readiness Tracker'!E4:E9)</f>
        <v>2.16666666666667</v>
      </c>
    </row>
    <row r="6" customFormat="false" ht="15" hidden="false" customHeight="false" outlineLevel="0" collapsed="false">
      <c r="A6" s="3" t="s">
        <v>29</v>
      </c>
      <c r="B6" s="3" t="n">
        <f aca="false">COUNTIF('Readiness Tracker'!C4:C9,A6)</f>
        <v>1</v>
      </c>
      <c r="C6" s="7" t="n">
        <f aca="false">B6/SUM(B4:B7)</f>
        <v>0.166666666666667</v>
      </c>
    </row>
    <row r="7" customFormat="false" ht="15" hidden="false" customHeight="false" outlineLevel="0" collapsed="false">
      <c r="A7" s="5" t="s">
        <v>53</v>
      </c>
      <c r="B7" s="5" t="n">
        <f aca="false">COUNTIF('Readiness Tracker'!C4:C9,A7)</f>
        <v>0</v>
      </c>
      <c r="C7" s="8" t="n">
        <f aca="false">B7/SUM(B4:B7)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2026-03-13T14:38:38Z</dcterms:created>
  <dc:creator>openpyxl</dc:creator>
  <dc:description/>
  <dc:language>en-US</dc:language>
  <cp:lastModifiedBy/>
  <dcterms:modified xsi:type="dcterms:W3CDTF">2026-03-13T14:38:38Z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