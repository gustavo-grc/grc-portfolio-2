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isk Register" sheetId="1" state="visible" r:id="rId3"/>
    <sheet name="Heat Map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<sst xmlns="http://schemas.openxmlformats.org/spreadsheetml/2006/main" count="109" uniqueCount="90">
  <si>
    <t xml:space="preserve">Cybersecurity Risk Register</t>
  </si>
  <si>
    <t xml:space="preserve">Organization</t>
  </si>
  <si>
    <t xml:space="preserve">HealthData Cloud</t>
  </si>
  <si>
    <t xml:space="preserve">Methodology</t>
  </si>
  <si>
    <t xml:space="preserve">NIST-aligned qualitative scoring</t>
  </si>
  <si>
    <t xml:space="preserve">Scale</t>
  </si>
  <si>
    <t xml:space="preserve">1-5</t>
  </si>
  <si>
    <t xml:space="preserve">Risk ID</t>
  </si>
  <si>
    <t xml:space="preserve">Domain</t>
  </si>
  <si>
    <t xml:space="preserve">Risk Statement</t>
  </si>
  <si>
    <t xml:space="preserve">Asset / Process</t>
  </si>
  <si>
    <t xml:space="preserve">Likelihood</t>
  </si>
  <si>
    <t xml:space="preserve">Impact</t>
  </si>
  <si>
    <t xml:space="preserve">Inherent Score</t>
  </si>
  <si>
    <t xml:space="preserve">Current Control Strength</t>
  </si>
  <si>
    <t xml:space="preserve">Residual Score</t>
  </si>
  <si>
    <t xml:space="preserve">Owner</t>
  </si>
  <si>
    <t xml:space="preserve">Treatment Plan</t>
  </si>
  <si>
    <t xml:space="preserve">R-01</t>
  </si>
  <si>
    <t xml:space="preserve">Identity</t>
  </si>
  <si>
    <t xml:space="preserve">Phishing attack leads to compromise of a workforce identity account</t>
  </si>
  <si>
    <t xml:space="preserve">Cloud Identity Platform</t>
  </si>
  <si>
    <t xml:space="preserve">Weak</t>
  </si>
  <si>
    <t xml:space="preserve">IT Security Lead</t>
  </si>
  <si>
    <t xml:space="preserve">Enforce MFA, improve email security, and run phishing simulations</t>
  </si>
  <si>
    <t xml:space="preserve">R-02</t>
  </si>
  <si>
    <t xml:space="preserve">Data Protection</t>
  </si>
  <si>
    <t xml:space="preserve">Unauthorized privileged access exposes customer data</t>
  </si>
  <si>
    <t xml:space="preserve">Customer Database</t>
  </si>
  <si>
    <t xml:space="preserve">Moderate</t>
  </si>
  <si>
    <t xml:space="preserve">Head of Engineering</t>
  </si>
  <si>
    <t xml:space="preserve">Quarterly access review, privileged monitoring, least-privilege remediation</t>
  </si>
  <si>
    <t xml:space="preserve">R-03</t>
  </si>
  <si>
    <t xml:space="preserve">Resilience</t>
  </si>
  <si>
    <t xml:space="preserve">Ransomware disrupts endpoint fleet and shared services</t>
  </si>
  <si>
    <t xml:space="preserve">Employee Endpoints</t>
  </si>
  <si>
    <t xml:space="preserve">IT Operations Manager</t>
  </si>
  <si>
    <t xml:space="preserve">Expand EDR coverage, isolate admin rights, and test backup restoration</t>
  </si>
  <si>
    <t xml:space="preserve">R-04</t>
  </si>
  <si>
    <t xml:space="preserve">Monitoring</t>
  </si>
  <si>
    <t xml:space="preserve">Security logs do not provide timely detection of high-risk activity</t>
  </si>
  <si>
    <t xml:space="preserve">Security Monitoring</t>
  </si>
  <si>
    <t xml:space="preserve">Security Operations Lead</t>
  </si>
  <si>
    <t xml:space="preserve">Centralize logs, define alert use cases, and review coverage monthly</t>
  </si>
  <si>
    <t xml:space="preserve">R-05</t>
  </si>
  <si>
    <t xml:space="preserve">Third-Party</t>
  </si>
  <si>
    <t xml:space="preserve">Critical vendor outage disrupts customer-facing service</t>
  </si>
  <si>
    <t xml:space="preserve">Cloud Hosting Provider</t>
  </si>
  <si>
    <t xml:space="preserve">Vendor Manager</t>
  </si>
  <si>
    <t xml:space="preserve">Add resilience clauses, assess failover capabilities, and review continuity annually</t>
  </si>
  <si>
    <t xml:space="preserve">R-06</t>
  </si>
  <si>
    <t xml:space="preserve">Compliance</t>
  </si>
  <si>
    <t xml:space="preserve">Sensitive data retained beyond justified business need</t>
  </si>
  <si>
    <t xml:space="preserve">Data Lifecycle Management</t>
  </si>
  <si>
    <t xml:space="preserve">Privacy Manager</t>
  </si>
  <si>
    <t xml:space="preserve">Define retention schedule and automate deletion controls</t>
  </si>
  <si>
    <t xml:space="preserve">Scoring Guidance</t>
  </si>
  <si>
    <t xml:space="preserve">Risk Summary</t>
  </si>
  <si>
    <t xml:space="preserve">Measure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</si>
  <si>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</si>
  <si>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</si>
  <si>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</si>
  <si>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</si>
  <si>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</si>
  <si>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Metric</t>
  </si>
  <si>
    <t xml:space="preserve">Value</t>
  </si>
  <si>
    <t xml:space="preserve">Rare</t>
  </si>
  <si>
    <t xml:space="preserve">Unlikely</t>
  </si>
  <si>
    <t xml:space="preserve">Possible</t>
  </si>
  <si>
    <t xml:space="preserve">Likely</t>
  </si>
  <si>
    <t xml:space="preserve">Almost Certain</t>
  </si>
  <si>
    <t xml:space="preserve">Average Inherent Score</t>
  </si>
  <si>
    <t xml:space="preserve">Negligible</t>
  </si>
  <si>
    <t xml:space="preserve">Minor</t>
  </si>
  <si>
    <t xml:space="preserve">Major</t>
  </si>
  <si>
    <t xml:space="preserve">Severe</t>
  </si>
  <si>
    <t xml:space="preserve">Average Residual Score</t>
  </si>
  <si>
    <t xml:space="preserve">Critical / High (Inherent &gt;= 16)</t>
  </si>
  <si>
    <t xml:space="preserve">High Residual (&gt;= 12)</t>
  </si>
  <si>
    <t xml:space="preserve">Risk Heat Map Reference</t>
  </si>
  <si>
    <t xml:space="preserve">Likelihood \ Impact</t>
  </si>
  <si>
    <t xml:space="preserve">Interpretation</t>
  </si>
  <si>
    <t xml:space="preserve">Low</t>
  </si>
  <si>
    <t xml:space="preserve">Medium</t>
  </si>
  <si>
    <t xml:space="preserve">High</t>
  </si>
  <si>
    <t xml:space="preserve">Critical</t>
  </si>
  <si>
    <t xml:space="preserve">Risk Dashboard</t>
  </si>
  <si>
    <t xml:space="preserve">Total Risks</t>
  </si>
  <si>
    <t xml:space="preserve">Critical Risks</t>
  </si>
  <si>
    <t xml:space="preserve">High Residual Risks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</si>
</sst>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EEF4FA"/>
      </patternFill>
    </fill>
    <fill>
      <patternFill patternType="solid">
        <fgColor rgb="FFEEF4FA"/>
        <bgColor rgb="FFFFFFFF"/>
      </patternFill>
    </fill>
    <fill>
      <patternFill patternType="solid">
        <fgColor rgb="FF5B9BD5"/>
        <bgColor rgb="FF4F81BD"/>
      </patternFill>
    </fill>
    <fill>
      <patternFill patternType="solid">
        <fgColor rgb="FFA9D18E"/>
        <bgColor rgb="FFD0D7DE"/>
      </patternFill>
    </fill>
    <fill>
      <patternFill patternType="solid">
        <fgColor rgb="FFFFD966"/>
        <bgColor rgb="FFFFFF99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E"/>
      </bottom>
      <diagonal/>
    </border>
    <border diagonalUp="false" diagonalDown="false">
      <left/>
      <right/>
      <top/>
      <bottom style="thin">
        <color rgb="FF9AA8B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78787"/>
      <rgbColor rgb="FF5B9BD5"/>
      <rgbColor rgb="FF993366"/>
      <rgbColor rgb="FFEEF4FA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D966"/>
      <rgbColor rgb="FF4F81BD"/>
      <rgbColor rgb="FF33CCCC"/>
      <rgbColor rgb="FF99CC00"/>
      <rgbColor rgb="FFFFCC00"/>
      <rgbColor rgb="FFFF9900"/>
      <rgbColor rgb="FFED7D31"/>
      <rgbColor rgb="FF666666"/>
      <rgbColor rgb="FF9AA8B5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Residual Risk by Domain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Dashboard!E3</c:f>
              <c:strCache>
                <c:ptCount val="1"/>
                <c:pt idx="0">
                  <c:v>Residual 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Dashboard!$D$4:$D$9</c:f>
              <c:strCache>
                <c:ptCount val="6"/>
                <c:pt idx="0">
                  <c:v>Identity</c:v>
                </c:pt>
                <c:pt idx="1">
                  <c:v>Data Protection</c:v>
                </c:pt>
                <c:pt idx="2">
                  <c:v>Resilience</c:v>
                </c:pt>
                <c:pt idx="3">
                  <c:v>Monitoring</c:v>
                </c:pt>
                <c:pt idx="4">
                  <c:v>Third-Party</c:v>
                </c:pt>
                <c:pt idx="5">
                  <c:v>Compliance</c:v>
                </c:pt>
              </c:strCache>
            </c:strRef>
          </c:cat>
          <c:val>
            <c:numRef>
              <c:f>Dashboard!$E$4:$E$9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</c:numCache>
            </c:numRef>
          </c:val>
        </c:ser>
        <c:gapWidth val="150"/>
        <c:overlap val="0"/>
        <c:axId val="82148472"/>
        <c:axId val="59769096"/>
      </c:barChart>
      <c:catAx>
        <c:axId val="82148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769096"/>
        <c:crosses val="autoZero"/>
        <c:auto val="1"/>
        <c:lblAlgn val="ctr"/>
        <c:lblOffset val="100"/>
        <c:noMultiLvlLbl val="0"/>
      </c:catAx>
      <c:valAx>
        <c:axId val="597690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Residual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1484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151920</xdr:rowOff>
    </xdr:from>
    <xdr:to>
      <xdr:col>3</xdr:col>
      <xdr:colOff>1107720</xdr:colOff>
      <xdr:row>23</xdr:row>
      <xdr:rowOff>173880</xdr:rowOff>
    </xdr:to>
    <xdr:graphicFrame>
      <xdr:nvGraphicFramePr>
        <xdr:cNvPr id="0" name="Chart 1"/>
        <xdr:cNvGraphicFramePr/>
      </xdr:nvGraphicFramePr>
      <xdr:xfrm>
        <a:off x="0" y="19051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7" ySplit="14" topLeftCell="H15" activePane="bottomRight" state="frozen"/>
      <selection pane="topLeft" activeCell="A1" activeCellId="0" sqref="A1"/>
      <selection pane="topRight" activeCell="H1" activeCellId="0" sqref="H1"/>
      <selection pane="bottomLeft" activeCell="A15" activeCellId="0" sqref="A1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20"/>
    <col collapsed="false" customWidth="true" hidden="false" outlineLevel="0" max="11" min="11" style="0" width="3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0" t="s">
        <v>2</v>
      </c>
      <c r="D2" s="2" t="s">
        <v>3</v>
      </c>
      <c r="E2" s="0" t="s">
        <v>4</v>
      </c>
      <c r="H2" s="2" t="s">
        <v>5</v>
      </c>
      <c r="I2" s="0" t="s">
        <v>6</v>
      </c>
    </row>
    <row r="4" customFormat="false" ht="25.5" hidden="false" customHeight="true" outlineLevel="0" collapsed="false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</row>
    <row r="5" customFormat="false" ht="25.5" hidden="false" customHeight="true" outlineLevel="0" collapsed="false">
      <c r="A5" s="4" t="s">
        <v>18</v>
      </c>
      <c r="B5" s="4" t="s">
        <v>19</v>
      </c>
      <c r="C5" s="4" t="s">
        <v>20</v>
      </c>
      <c r="D5" s="4" t="s">
        <v>21</v>
      </c>
      <c r="E5" s="5" t="n">
        <v>5</v>
      </c>
      <c r="F5" s="5" t="n">
        <v>4</v>
      </c>
      <c r="G5" s="6" t="n">
        <f aca="false">E5*F5</f>
        <v>20</v>
      </c>
      <c r="H5" s="7" t="s">
        <v>22</v>
      </c>
      <c r="I5" s="6" t="n">
        <f aca="false">ROUND(G5*IF(H5="Weak",0.75,IF(H5="Moderate",0.55,0.35)),0)</f>
        <v>15</v>
      </c>
      <c r="J5" s="4" t="s">
        <v>23</v>
      </c>
      <c r="K5" s="4" t="s">
        <v>24</v>
      </c>
    </row>
    <row r="6" customFormat="false" ht="25.5" hidden="false" customHeight="true" outlineLevel="0" collapsed="false">
      <c r="A6" s="8" t="s">
        <v>25</v>
      </c>
      <c r="B6" s="8" t="s">
        <v>26</v>
      </c>
      <c r="C6" s="8" t="s">
        <v>27</v>
      </c>
      <c r="D6" s="8" t="s">
        <v>28</v>
      </c>
      <c r="E6" s="9" t="n">
        <v>4</v>
      </c>
      <c r="F6" s="9" t="n">
        <v>5</v>
      </c>
      <c r="G6" s="10" t="n">
        <f aca="false">E6*F6</f>
        <v>20</v>
      </c>
      <c r="H6" s="11" t="s">
        <v>29</v>
      </c>
      <c r="I6" s="10" t="n">
        <f aca="false">ROUND(G6*IF(H6="Weak",0.75,IF(H6="Moderate",0.55,0.35)),0)</f>
        <v>11</v>
      </c>
      <c r="J6" s="8" t="s">
        <v>30</v>
      </c>
      <c r="K6" s="8" t="s">
        <v>31</v>
      </c>
    </row>
    <row r="7" customFormat="false" ht="25.5" hidden="false" customHeight="true" outlineLevel="0" collapsed="false">
      <c r="A7" s="4" t="s">
        <v>32</v>
      </c>
      <c r="B7" s="4" t="s">
        <v>33</v>
      </c>
      <c r="C7" s="4" t="s">
        <v>34</v>
      </c>
      <c r="D7" s="4" t="s">
        <v>35</v>
      </c>
      <c r="E7" s="5" t="n">
        <v>4</v>
      </c>
      <c r="F7" s="5" t="n">
        <v>4</v>
      </c>
      <c r="G7" s="6" t="n">
        <f aca="false">E7*F7</f>
        <v>16</v>
      </c>
      <c r="H7" s="7" t="s">
        <v>29</v>
      </c>
      <c r="I7" s="6" t="n">
        <f aca="false">ROUND(G7*IF(H7="Weak",0.75,IF(H7="Moderate",0.55,0.35)),0)</f>
        <v>9</v>
      </c>
      <c r="J7" s="4" t="s">
        <v>36</v>
      </c>
      <c r="K7" s="4" t="s">
        <v>37</v>
      </c>
    </row>
    <row r="8" customFormat="false" ht="25.5" hidden="false" customHeight="true" outlineLevel="0" collapsed="false">
      <c r="A8" s="8" t="s">
        <v>38</v>
      </c>
      <c r="B8" s="8" t="s">
        <v>39</v>
      </c>
      <c r="C8" s="8" t="s">
        <v>40</v>
      </c>
      <c r="D8" s="8" t="s">
        <v>41</v>
      </c>
      <c r="E8" s="9" t="n">
        <v>3</v>
      </c>
      <c r="F8" s="9" t="n">
        <v>4</v>
      </c>
      <c r="G8" s="10" t="n">
        <f aca="false">E8*F8</f>
        <v>12</v>
      </c>
      <c r="H8" s="11" t="s">
        <v>22</v>
      </c>
      <c r="I8" s="10" t="n">
        <f aca="false">ROUND(G8*IF(H8="Weak",0.75,IF(H8="Moderate",0.55,0.35)),0)</f>
        <v>9</v>
      </c>
      <c r="J8" s="8" t="s">
        <v>42</v>
      </c>
      <c r="K8" s="8" t="s">
        <v>43</v>
      </c>
    </row>
    <row r="9" customFormat="false" ht="25.5" hidden="false" customHeight="true" outlineLevel="0" collapsed="false">
      <c r="A9" s="4" t="s">
        <v>44</v>
      </c>
      <c r="B9" s="4" t="s">
        <v>45</v>
      </c>
      <c r="C9" s="4" t="s">
        <v>46</v>
      </c>
      <c r="D9" s="4" t="s">
        <v>47</v>
      </c>
      <c r="E9" s="5" t="n">
        <v>3</v>
      </c>
      <c r="F9" s="5" t="n">
        <v>4</v>
      </c>
      <c r="G9" s="6" t="n">
        <f aca="false">E9*F9</f>
        <v>12</v>
      </c>
      <c r="H9" s="7" t="s">
        <v>22</v>
      </c>
      <c r="I9" s="6" t="n">
        <f aca="false">ROUND(G9*IF(H9="Weak",0.75,IF(H9="Moderate",0.55,0.35)),0)</f>
        <v>9</v>
      </c>
      <c r="J9" s="4" t="s">
        <v>48</v>
      </c>
      <c r="K9" s="4" t="s">
        <v>49</v>
      </c>
    </row>
    <row r="10" customFormat="false" ht="25.5" hidden="false" customHeight="true" outlineLevel="0" collapsed="false">
      <c r="A10" s="8" t="s">
        <v>50</v>
      </c>
      <c r="B10" s="8" t="s">
        <v>51</v>
      </c>
      <c r="C10" s="8" t="s">
        <v>52</v>
      </c>
      <c r="D10" s="8" t="s">
        <v>53</v>
      </c>
      <c r="E10" s="9" t="n">
        <v>3</v>
      </c>
      <c r="F10" s="9" t="n">
        <v>3</v>
      </c>
      <c r="G10" s="10" t="n">
        <f aca="false">E10*F10</f>
        <v>9</v>
      </c>
      <c r="H10" s="11" t="s">
        <v>29</v>
      </c>
      <c r="I10" s="10" t="n">
        <f aca="false">ROUND(G10*IF(H10="Weak",0.75,IF(H10="Moderate",0.55,0.35)),0)</f>
        <v>5</v>
      </c>
      <c r="J10" s="8" t="s">
        <v>54</v>
      </c>
      <c r="K10" s="8" t="s">
        <v>55</v>
      </c>
    </row>
    <row r="11" customFormat="false" ht="25.5" hidden="false" customHeight="true" outlineLevel="0" collapsed="false"/>
    <row r="12" customFormat="false" ht="25.5" hidden="false" customHeight="true" outlineLevel="0" collapsed="false"/>
    <row r="13" customFormat="false" ht="25.5" hidden="false" customHeight="true" outlineLevel="0" collapsed="false">
      <c r="A13" s="12" t="s">
        <v>56</v>
      </c>
      <c r="H13" s="12" t="s">
        <v>57</v>
      </c>
    </row>
    <row r="14" customFormat="false" ht="25.5" hidden="false" customHeight="true" outlineLevel="0" collapsed="false">
      <c r="A14" s="13" t="s">
        <v>58</v>
      </c>
      <c r="B14" s="13" t="s">
        <v>59</v>
      </c>
      <c r="C14" s="13" t="s">
        <v>60</v>
      </c>
      <c r="D14" s="13" t="s">
        <v>61</v>
      </c>
      <c r="E14" s="13" t="s">
        <v>62</v>
      </c>
      <c r="F14" s="13" t="s">
        <v>63</v>
      </c>
      <c r="H14" s="13" t="s">
        <v>64</v>
      </c>
      <c r="I14" s="13" t="s">
        <v>65</v>
      </c>
    </row>
    <row r="15" customFormat="false" ht="25.5" hidden="false" customHeight="true" outlineLevel="0" collapsed="false">
      <c r="A15" s="4" t="s">
        <v>11</v>
      </c>
      <c r="B15" s="4" t="s">
        <v>66</v>
      </c>
      <c r="C15" s="4" t="s">
        <v>67</v>
      </c>
      <c r="D15" s="4" t="s">
        <v>68</v>
      </c>
      <c r="E15" s="4" t="s">
        <v>69</v>
      </c>
      <c r="F15" s="4" t="s">
        <v>70</v>
      </c>
      <c r="H15" s="4" t="s">
        <v>71</v>
      </c>
      <c r="I15" s="4" t="n">
        <f aca="false">AVERAGE(G5:G10)</f>
        <v>14.8333333333333</v>
      </c>
    </row>
    <row r="16" customFormat="false" ht="25.5" hidden="false" customHeight="true" outlineLevel="0" collapsed="false">
      <c r="A16" s="8" t="s">
        <v>12</v>
      </c>
      <c r="B16" s="8" t="s">
        <v>72</v>
      </c>
      <c r="C16" s="8" t="s">
        <v>73</v>
      </c>
      <c r="D16" s="8" t="s">
        <v>29</v>
      </c>
      <c r="E16" s="8" t="s">
        <v>74</v>
      </c>
      <c r="F16" s="8" t="s">
        <v>75</v>
      </c>
      <c r="H16" s="8" t="s">
        <v>76</v>
      </c>
      <c r="I16" s="8" t="n">
        <f aca="false">AVERAGE(I5:I10)</f>
        <v>9.66666666666667</v>
      </c>
    </row>
    <row r="17" customFormat="false" ht="25.5" hidden="false" customHeight="true" outlineLevel="0" collapsed="false">
      <c r="H17" s="4" t="s">
        <v>77</v>
      </c>
      <c r="I17" s="4" t="n">
        <f aca="false">COUNTIF(G5:G10,"&gt;=16")</f>
        <v>3</v>
      </c>
    </row>
    <row r="18" customFormat="false" ht="25.5" hidden="false" customHeight="true" outlineLevel="0" collapsed="false">
      <c r="H18" s="8" t="s">
        <v>78</v>
      </c>
      <c r="I18" s="8" t="n">
        <f aca="false">COUNTIF(I5:I10,"&gt;=12")</f>
        <v>1</v>
      </c>
    </row>
  </sheetData>
  <mergeCells count="1">
    <mergeCell ref="A1:K1"/>
  </mergeCells>
  <conditionalFormatting sqref="G5:G10">
    <cfRule type="colorScale" priority="2">
      <colorScale>
        <cfvo type="num" val="1"/>
        <cfvo type="num" val="12"/>
        <cfvo type="num" val="25"/>
        <color rgb="FFA9D18E"/>
        <color rgb="FFFFD966"/>
        <color rgb="FFC00000"/>
      </colorScale>
    </cfRule>
  </conditionalFormatting>
  <conditionalFormatting sqref="I5:I10">
    <cfRule type="colorScale" priority="3">
      <colorScale>
        <cfvo type="num" val="1"/>
        <cfvo type="num" val="10"/>
        <cfvo type="num" val="20"/>
        <color rgb="FFA9D18E"/>
        <color rgb="FFFFD966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2"/>
  </cols>
  <sheetData>
    <row r="1" customFormat="false" ht="19.7" hidden="false" customHeight="false" outlineLevel="0" collapsed="false">
      <c r="A1" s="1" t="s">
        <v>79</v>
      </c>
      <c r="B1" s="1"/>
      <c r="C1" s="1"/>
      <c r="D1" s="1"/>
      <c r="E1" s="1"/>
      <c r="F1" s="1"/>
      <c r="G1" s="1"/>
    </row>
    <row r="3" customFormat="false" ht="24" hidden="false" customHeight="true" outlineLevel="0" collapsed="false">
      <c r="A3" s="14" t="s">
        <v>80</v>
      </c>
      <c r="B3" s="14" t="n">
        <v>1</v>
      </c>
      <c r="C3" s="14" t="n">
        <v>2</v>
      </c>
      <c r="D3" s="14" t="n">
        <v>3</v>
      </c>
      <c r="E3" s="14" t="n">
        <v>4</v>
      </c>
      <c r="F3" s="14" t="n">
        <v>5</v>
      </c>
    </row>
    <row r="4" customFormat="false" ht="24" hidden="false" customHeight="true" outlineLevel="0" collapsed="false">
      <c r="A4" s="15" t="n">
        <v>1</v>
      </c>
      <c r="B4" s="16" t="n">
        <v>1</v>
      </c>
      <c r="C4" s="16" t="n">
        <v>2</v>
      </c>
      <c r="D4" s="16" t="n">
        <v>3</v>
      </c>
      <c r="E4" s="16" t="n">
        <v>4</v>
      </c>
      <c r="F4" s="16" t="n">
        <v>5</v>
      </c>
    </row>
    <row r="5" customFormat="false" ht="24" hidden="false" customHeight="true" outlineLevel="0" collapsed="false">
      <c r="A5" s="15" t="n">
        <v>2</v>
      </c>
      <c r="B5" s="16" t="n">
        <v>2</v>
      </c>
      <c r="C5" s="16" t="n">
        <v>4</v>
      </c>
      <c r="D5" s="16" t="n">
        <v>6</v>
      </c>
      <c r="E5" s="17" t="n">
        <v>8</v>
      </c>
      <c r="F5" s="17" t="n">
        <v>10</v>
      </c>
    </row>
    <row r="6" customFormat="false" ht="24" hidden="false" customHeight="true" outlineLevel="0" collapsed="false">
      <c r="A6" s="15" t="n">
        <v>3</v>
      </c>
      <c r="B6" s="16" t="n">
        <v>3</v>
      </c>
      <c r="C6" s="16" t="n">
        <v>6</v>
      </c>
      <c r="D6" s="17" t="n">
        <v>9</v>
      </c>
      <c r="E6" s="18" t="n">
        <v>12</v>
      </c>
      <c r="F6" s="18" t="n">
        <v>15</v>
      </c>
    </row>
    <row r="7" customFormat="false" ht="24" hidden="false" customHeight="true" outlineLevel="0" collapsed="false">
      <c r="A7" s="15" t="n">
        <v>4</v>
      </c>
      <c r="B7" s="16" t="n">
        <v>4</v>
      </c>
      <c r="C7" s="17" t="n">
        <v>8</v>
      </c>
      <c r="D7" s="18" t="n">
        <v>12</v>
      </c>
      <c r="E7" s="19" t="n">
        <v>16</v>
      </c>
      <c r="F7" s="19" t="n">
        <v>20</v>
      </c>
    </row>
    <row r="8" customFormat="false" ht="24" hidden="false" customHeight="true" outlineLevel="0" collapsed="false">
      <c r="A8" s="15" t="n">
        <v>5</v>
      </c>
      <c r="B8" s="16" t="n">
        <v>5</v>
      </c>
      <c r="C8" s="17" t="n">
        <v>10</v>
      </c>
      <c r="D8" s="18" t="n">
        <v>15</v>
      </c>
      <c r="E8" s="19" t="n">
        <v>20</v>
      </c>
      <c r="F8" s="19" t="n">
        <v>25</v>
      </c>
    </row>
    <row r="10" customFormat="false" ht="15" hidden="false" customHeight="false" outlineLevel="0" collapsed="false">
      <c r="A10" s="0" t="s">
        <v>81</v>
      </c>
      <c r="B10" s="0" t="s">
        <v>82</v>
      </c>
      <c r="C10" s="0" t="s">
        <v>83</v>
      </c>
      <c r="D10" s="0" t="s">
        <v>84</v>
      </c>
      <c r="E10" s="0" t="s">
        <v>85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86</v>
      </c>
      <c r="B1" s="1"/>
      <c r="C1" s="1"/>
      <c r="D1" s="1"/>
      <c r="E1" s="1"/>
      <c r="F1" s="1"/>
      <c r="G1" s="1"/>
      <c r="H1" s="1"/>
    </row>
    <row r="3" customFormat="false" ht="28.35" hidden="false" customHeight="false" outlineLevel="0" collapsed="false">
      <c r="A3" s="3" t="s">
        <v>64</v>
      </c>
      <c r="B3" s="3" t="s">
        <v>65</v>
      </c>
      <c r="D3" s="3" t="s">
        <v>8</v>
      </c>
      <c r="E3" s="3" t="s">
        <v>15</v>
      </c>
    </row>
    <row r="4" customFormat="false" ht="15" hidden="false" customHeight="false" outlineLevel="0" collapsed="false">
      <c r="A4" s="8" t="s">
        <v>87</v>
      </c>
      <c r="B4" s="8" t="n">
        <f aca="false">COUNTA('Risk Register'!A5:A10)</f>
        <v>6</v>
      </c>
      <c r="D4" s="8" t="s">
        <v>19</v>
      </c>
      <c r="E4" s="8" t="n">
        <f aca="false">SUMIF('Risk Register'!B5:B10,D4,'Risk Register'!I5:I10)</f>
        <v>15</v>
      </c>
    </row>
    <row r="5" customFormat="false" ht="15" hidden="false" customHeight="false" outlineLevel="0" collapsed="false">
      <c r="A5" s="4" t="s">
        <v>71</v>
      </c>
      <c r="B5" s="4" t="n">
        <f aca="false">AVERAGE('Risk Register'!G5:G10)</f>
        <v>14.8333333333333</v>
      </c>
      <c r="D5" s="4" t="s">
        <v>26</v>
      </c>
      <c r="E5" s="4" t="n">
        <f aca="false">SUMIF('Risk Register'!B5:B10,D5,'Risk Register'!I5:I10)</f>
        <v>11</v>
      </c>
    </row>
    <row r="6" customFormat="false" ht="15" hidden="false" customHeight="false" outlineLevel="0" collapsed="false">
      <c r="A6" s="8" t="s">
        <v>76</v>
      </c>
      <c r="B6" s="8" t="n">
        <f aca="false">AVERAGE('Risk Register'!I5:I10)</f>
        <v>9.66666666666667</v>
      </c>
      <c r="D6" s="8" t="s">
        <v>33</v>
      </c>
      <c r="E6" s="8" t="n">
        <f aca="false">SUMIF('Risk Register'!B5:B10,D6,'Risk Register'!I5:I10)</f>
        <v>9</v>
      </c>
    </row>
    <row r="7" customFormat="false" ht="15" hidden="false" customHeight="false" outlineLevel="0" collapsed="false">
      <c r="A7" s="4" t="s">
        <v>88</v>
      </c>
      <c r="B7" s="4" t="n">
        <f aca="false">COUNTIF('Risk Register'!G5:G10,"&gt;=16")</f>
        <v>3</v>
      </c>
      <c r="D7" s="4" t="s">
        <v>39</v>
      </c>
      <c r="E7" s="4" t="n">
        <f aca="false">SUMIF('Risk Register'!B5:B10,D7,'Risk Register'!I5:I10)</f>
        <v>9</v>
      </c>
    </row>
    <row r="8" customFormat="false" ht="15" hidden="false" customHeight="false" outlineLevel="0" collapsed="false">
      <c r="A8" s="8" t="s">
        <v>89</v>
      </c>
      <c r="B8" s="8" t="n">
        <f aca="false">COUNTIF('Risk Register'!I5:I10,"&gt;=12")</f>
        <v>1</v>
      </c>
      <c r="D8" s="8" t="s">
        <v>45</v>
      </c>
      <c r="E8" s="8" t="n">
        <f aca="false">SUMIF('Risk Register'!B5:B10,D8,'Risk Register'!I5:I10)</f>
        <v>9</v>
      </c>
    </row>
    <row r="9" customFormat="false" ht="15" hidden="false" customHeight="false" outlineLevel="0" collapsed="false">
      <c r="D9" s="4" t="s">
        <v>51</v>
      </c>
      <c r="E9" s="4" t="n">
        <f aca="false">SUMIF('Risk Register'!B5:B10,D9,'Risk Register'!I5:I10)</f>
        <v>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2026-03-13T14:38:37Z</dcterms:created>
  <dc:creator>openpyxl</dc:creator>
  <dc:description/>
  <dc:language>en-US</dc:language>
  <cp:lastModifiedBy/>
  <dcterms:modified xsi:type="dcterms:W3CDTF">2026-03-13T14:38:38Z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